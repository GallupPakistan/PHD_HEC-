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extracted\"/>
    </mc:Choice>
  </mc:AlternateContent>
  <xr:revisionPtr revIDLastSave="0" documentId="13_ncr:1_{4E992385-2A3C-431C-B723-7B303B1C83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1" r:id="rId1"/>
    <sheet name="Enrolment by Discipline" sheetId="7" r:id="rId2"/>
    <sheet name="Enrolment by Province" sheetId="9" r:id="rId3"/>
    <sheet name="Faculty by province" sheetId="11" r:id="rId4"/>
    <sheet name="Number of PhDs Produced by Paki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C6" i="11"/>
  <c r="C7" i="11"/>
  <c r="C8" i="11"/>
  <c r="C9" i="11"/>
  <c r="C4" i="11"/>
</calcChain>
</file>

<file path=xl/sharedStrings.xml><?xml version="1.0" encoding="utf-8"?>
<sst xmlns="http://schemas.openxmlformats.org/spreadsheetml/2006/main" count="73" uniqueCount="48">
  <si>
    <t>Sheet Name</t>
  </si>
  <si>
    <t>Table Heading (as in report)</t>
  </si>
  <si>
    <t>Source Page</t>
  </si>
  <si>
    <t>AAnnnnuuaall RReeppoorrtt</t>
  </si>
  <si>
    <t>STATISTICS</t>
  </si>
  <si>
    <t>Universities Degree Awarding In</t>
  </si>
  <si>
    <t>Universities/ Degree Awarding Institutions in Pakistan</t>
  </si>
  <si>
    <t>Universities Degree Awardin (2)</t>
  </si>
  <si>
    <t>Quality and Research-based Rank</t>
  </si>
  <si>
    <t>Quality and Research-based Ranking of Pakistani HEIs</t>
  </si>
  <si>
    <t>Quality and Research-based  (2)</t>
  </si>
  <si>
    <t>p169</t>
  </si>
  <si>
    <t>(heading not detected)</t>
  </si>
  <si>
    <t>p169 (2)</t>
  </si>
  <si>
    <t>p170</t>
  </si>
  <si>
    <t>p170 (2)</t>
  </si>
  <si>
    <t>Pakistan' which can be accessed</t>
  </si>
  <si>
    <t>Pakistan' which can be accessed on HEC website at .</t>
  </si>
  <si>
    <t>Pakistan' which can be acce (2)</t>
  </si>
  <si>
    <t>p172</t>
  </si>
  <si>
    <t>AAnnnnuuaall RReeppoorrtt (2)</t>
  </si>
  <si>
    <t>Discipline</t>
  </si>
  <si>
    <t>General</t>
  </si>
  <si>
    <t>Engineering and Technology</t>
  </si>
  <si>
    <t>Agriculture/Veterinary</t>
  </si>
  <si>
    <t>Business Education</t>
  </si>
  <si>
    <t>Medical</t>
  </si>
  <si>
    <t>Total</t>
  </si>
  <si>
    <t>Province</t>
  </si>
  <si>
    <t>Punjab</t>
  </si>
  <si>
    <t>Sindh</t>
  </si>
  <si>
    <t>Federal</t>
  </si>
  <si>
    <t>KPK</t>
  </si>
  <si>
    <t>Balochistan</t>
  </si>
  <si>
    <t>AJK</t>
  </si>
  <si>
    <t>PhD Faculty</t>
  </si>
  <si>
    <t>Total Faculty</t>
  </si>
  <si>
    <t>Year</t>
  </si>
  <si>
    <t>PhD Produced</t>
  </si>
  <si>
    <t>Total Cumulative</t>
  </si>
  <si>
    <t>Enrolment by Discipline</t>
  </si>
  <si>
    <t>Enrolment by Province</t>
  </si>
  <si>
    <t>Total Students</t>
  </si>
  <si>
    <t>Non-PhD Faculty</t>
  </si>
  <si>
    <t>Faculty by province</t>
  </si>
  <si>
    <t>TotalCumulative</t>
  </si>
  <si>
    <t>PhDProduced</t>
  </si>
  <si>
    <t>Number of PhDs Produced by Pakistani 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</si>
</sst>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70" zoomScaleNormal="70" workbookViewId="0"/>
  </sheetViews>
  <sheetFormatPr defaultRowHeight="15" x14ac:dyDescent="0.25"/>
  <cols>
    <col min="1" max="1" width="2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165</v>
      </c>
    </row>
    <row r="3" spans="1:3" x14ac:dyDescent="0.25">
      <c r="A3" t="s">
        <v>4</v>
      </c>
      <c r="B3" t="s">
        <v>4</v>
      </c>
      <c r="C3">
        <v>166</v>
      </c>
    </row>
    <row r="4" spans="1:3" x14ac:dyDescent="0.25">
      <c r="A4" t="s">
        <v>5</v>
      </c>
      <c r="B4" t="s">
        <v>6</v>
      </c>
      <c r="C4">
        <v>166</v>
      </c>
    </row>
    <row r="5" spans="1:3" x14ac:dyDescent="0.25">
      <c r="A5" t="s">
        <v>7</v>
      </c>
      <c r="B5" t="s">
        <v>6</v>
      </c>
      <c r="C5">
        <v>167</v>
      </c>
    </row>
    <row r="6" spans="1:3" x14ac:dyDescent="0.25">
      <c r="A6" t="s">
        <v>8</v>
      </c>
      <c r="B6" t="s">
        <v>9</v>
      </c>
      <c r="C6">
        <v>168</v>
      </c>
    </row>
    <row r="7" spans="1:3" x14ac:dyDescent="0.25">
      <c r="A7" t="s">
        <v>10</v>
      </c>
      <c r="B7" t="s">
        <v>9</v>
      </c>
      <c r="C7">
        <v>168</v>
      </c>
    </row>
    <row r="8" spans="1:3" x14ac:dyDescent="0.25">
      <c r="A8" t="s">
        <v>11</v>
      </c>
      <c r="B8" t="s">
        <v>12</v>
      </c>
      <c r="C8">
        <v>169</v>
      </c>
    </row>
    <row r="9" spans="1:3" x14ac:dyDescent="0.25">
      <c r="A9" t="s">
        <v>13</v>
      </c>
      <c r="B9" t="s">
        <v>12</v>
      </c>
      <c r="C9">
        <v>169</v>
      </c>
    </row>
    <row r="10" spans="1:3" x14ac:dyDescent="0.25">
      <c r="A10" t="s">
        <v>14</v>
      </c>
      <c r="B10" t="s">
        <v>12</v>
      </c>
      <c r="C10">
        <v>170</v>
      </c>
    </row>
    <row r="11" spans="1:3" x14ac:dyDescent="0.25">
      <c r="A11" t="s">
        <v>15</v>
      </c>
      <c r="B11" t="s">
        <v>12</v>
      </c>
      <c r="C11">
        <v>170</v>
      </c>
    </row>
    <row r="12" spans="1:3" x14ac:dyDescent="0.25">
      <c r="A12" t="s">
        <v>16</v>
      </c>
      <c r="B12" t="s">
        <v>17</v>
      </c>
      <c r="C12">
        <v>171</v>
      </c>
    </row>
    <row r="13" spans="1:3" x14ac:dyDescent="0.25">
      <c r="A13" t="s">
        <v>18</v>
      </c>
      <c r="B13" t="s">
        <v>17</v>
      </c>
      <c r="C13">
        <v>171</v>
      </c>
    </row>
    <row r="14" spans="1:3" x14ac:dyDescent="0.25">
      <c r="A14" t="s">
        <v>19</v>
      </c>
      <c r="B14" t="s">
        <v>12</v>
      </c>
      <c r="C14">
        <v>172</v>
      </c>
    </row>
    <row r="15" spans="1:3" x14ac:dyDescent="0.25">
      <c r="A15" t="s">
        <v>20</v>
      </c>
      <c r="B15" t="s">
        <v>3</v>
      </c>
      <c r="C15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B9" sqref="B4:B9"/>
    </sheetView>
  </sheetViews>
  <sheetFormatPr defaultRowHeight="15" x14ac:dyDescent="0.25"/>
  <cols>
    <col min="1" max="2" width="18" customWidth="1"/>
  </cols>
  <sheetData>
    <row r="1" spans="1:2" x14ac:dyDescent="0.25">
      <c r="A1" t="s">
        <v>40</v>
      </c>
    </row>
    <row r="3" spans="1:2" x14ac:dyDescent="0.25">
      <c r="A3" t="s">
        <v>21</v>
      </c>
      <c r="B3" t="s">
        <v>42</v>
      </c>
    </row>
    <row r="4" spans="1:2" x14ac:dyDescent="0.25">
      <c r="A4" t="s">
        <v>22</v>
      </c>
      <c r="B4" s="2">
        <v>436510</v>
      </c>
    </row>
    <row r="5" spans="1:2" x14ac:dyDescent="0.25">
      <c r="A5" t="s">
        <v>23</v>
      </c>
      <c r="B5" s="2">
        <v>52260</v>
      </c>
    </row>
    <row r="6" spans="1:2" x14ac:dyDescent="0.25">
      <c r="A6" t="s">
        <v>24</v>
      </c>
      <c r="B6" s="2">
        <v>37734</v>
      </c>
    </row>
    <row r="7" spans="1:2" x14ac:dyDescent="0.25">
      <c r="A7" t="s">
        <v>25</v>
      </c>
      <c r="B7" s="2">
        <v>51077</v>
      </c>
    </row>
    <row r="8" spans="1:2" x14ac:dyDescent="0.25">
      <c r="A8" t="s">
        <v>26</v>
      </c>
      <c r="B8" s="2">
        <v>20165</v>
      </c>
    </row>
    <row r="9" spans="1:2" x14ac:dyDescent="0.25">
      <c r="A9" t="s">
        <v>27</v>
      </c>
      <c r="B9" s="2">
        <v>597746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B9" sqref="B9"/>
    </sheetView>
  </sheetViews>
  <sheetFormatPr defaultRowHeight="15" x14ac:dyDescent="0.25"/>
  <cols>
    <col min="1" max="2" width="18" customWidth="1"/>
  </cols>
  <sheetData>
    <row r="1" spans="1:2" x14ac:dyDescent="0.25">
      <c r="A1" t="s">
        <v>41</v>
      </c>
    </row>
    <row r="3" spans="1:2" x14ac:dyDescent="0.25">
      <c r="A3" t="s">
        <v>28</v>
      </c>
      <c r="B3" t="s">
        <v>42</v>
      </c>
    </row>
    <row r="4" spans="1:2" x14ac:dyDescent="0.25">
      <c r="A4" t="s">
        <v>29</v>
      </c>
      <c r="B4" s="1">
        <v>235987</v>
      </c>
    </row>
    <row r="5" spans="1:2" x14ac:dyDescent="0.25">
      <c r="A5" t="s">
        <v>30</v>
      </c>
      <c r="B5" s="1">
        <v>149751</v>
      </c>
    </row>
    <row r="6" spans="1:2" x14ac:dyDescent="0.25">
      <c r="A6" t="s">
        <v>31</v>
      </c>
      <c r="B6" s="1">
        <v>109531</v>
      </c>
    </row>
    <row r="7" spans="1:2" x14ac:dyDescent="0.25">
      <c r="A7" t="s">
        <v>32</v>
      </c>
      <c r="B7" s="1">
        <v>73392</v>
      </c>
    </row>
    <row r="8" spans="1:2" x14ac:dyDescent="0.25">
      <c r="A8" t="s">
        <v>33</v>
      </c>
      <c r="B8" s="1">
        <v>17484</v>
      </c>
    </row>
    <row r="9" spans="1:2" x14ac:dyDescent="0.25">
      <c r="A9" t="s">
        <v>34</v>
      </c>
      <c r="B9" s="1">
        <v>11601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selection activeCell="C16" sqref="C16"/>
    </sheetView>
  </sheetViews>
  <sheetFormatPr defaultRowHeight="15" x14ac:dyDescent="0.25"/>
  <cols>
    <col min="1" max="4" width="18" customWidth="1"/>
  </cols>
  <sheetData>
    <row r="1" spans="1:4" x14ac:dyDescent="0.25">
      <c r="A1" t="s">
        <v>44</v>
      </c>
    </row>
    <row r="3" spans="1:4" x14ac:dyDescent="0.25">
      <c r="A3" t="s">
        <v>28</v>
      </c>
      <c r="B3" t="s">
        <v>35</v>
      </c>
      <c r="C3" t="s">
        <v>43</v>
      </c>
      <c r="D3" t="s">
        <v>36</v>
      </c>
    </row>
    <row r="4" spans="1:4" x14ac:dyDescent="0.25">
      <c r="A4" t="s">
        <v>29</v>
      </c>
      <c r="B4" s="1">
        <v>3482</v>
      </c>
      <c r="C4">
        <f>D4-B4</f>
        <v>12364</v>
      </c>
      <c r="D4" s="1">
        <v>15846</v>
      </c>
    </row>
    <row r="5" spans="1:4" x14ac:dyDescent="0.25">
      <c r="A5" t="s">
        <v>30</v>
      </c>
      <c r="B5" s="1">
        <v>1931</v>
      </c>
      <c r="C5">
        <f t="shared" ref="C5:C11" si="0">D5-B5</f>
        <v>8648</v>
      </c>
      <c r="D5" s="1">
        <v>10579</v>
      </c>
    </row>
    <row r="6" spans="1:4" x14ac:dyDescent="0.25">
      <c r="A6" t="s">
        <v>31</v>
      </c>
      <c r="B6" s="1">
        <v>2284</v>
      </c>
      <c r="C6">
        <f t="shared" si="0"/>
        <v>7590</v>
      </c>
      <c r="D6" s="1">
        <v>9874</v>
      </c>
    </row>
    <row r="7" spans="1:4" x14ac:dyDescent="0.25">
      <c r="A7" t="s">
        <v>32</v>
      </c>
      <c r="B7" s="1">
        <v>1365</v>
      </c>
      <c r="C7">
        <f t="shared" si="0"/>
        <v>4104</v>
      </c>
      <c r="D7" s="1">
        <v>5469</v>
      </c>
    </row>
    <row r="8" spans="1:4" x14ac:dyDescent="0.25">
      <c r="A8" t="s">
        <v>33</v>
      </c>
      <c r="B8" s="1">
        <v>149</v>
      </c>
      <c r="C8">
        <f t="shared" si="0"/>
        <v>1146</v>
      </c>
      <c r="D8" s="1">
        <v>1295</v>
      </c>
    </row>
    <row r="9" spans="1:4" x14ac:dyDescent="0.25">
      <c r="A9" t="s">
        <v>34</v>
      </c>
      <c r="B9" s="1">
        <v>152</v>
      </c>
      <c r="C9">
        <f t="shared" si="0"/>
        <v>868</v>
      </c>
      <c r="D9" s="1">
        <v>1020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1"/>
  <sheetViews>
    <sheetView workbookViewId="0"/>
  </sheetViews>
  <sheetFormatPr defaultRowHeight="15" x14ac:dyDescent="0.25"/>
  <cols>
    <col min="1" max="12" width="18" customWidth="1"/>
  </cols>
  <sheetData>
    <row r="1" spans="1:12" x14ac:dyDescent="0.25">
      <c r="A1" t="s">
        <v>47</v>
      </c>
    </row>
    <row r="3" spans="1:12" x14ac:dyDescent="0.25">
      <c r="A3" t="s">
        <v>37</v>
      </c>
      <c r="B3" t="s">
        <v>38</v>
      </c>
      <c r="C3" t="s">
        <v>39</v>
      </c>
      <c r="D3" t="s">
        <v>37</v>
      </c>
      <c r="E3" t="s">
        <v>38</v>
      </c>
      <c r="F3" t="s">
        <v>39</v>
      </c>
      <c r="G3" t="s">
        <v>37</v>
      </c>
      <c r="H3" t="s">
        <v>38</v>
      </c>
      <c r="I3" t="s">
        <v>45</v>
      </c>
      <c r="J3" t="s">
        <v>37</v>
      </c>
      <c r="K3" t="s">
        <v>46</v>
      </c>
      <c r="L3" t="s">
        <v>45</v>
      </c>
    </row>
    <row r="4" spans="1:12" x14ac:dyDescent="0.25">
      <c r="A4" s="1">
        <v>1947</v>
      </c>
      <c r="B4" s="1">
        <v>4</v>
      </c>
      <c r="C4">
        <v>29</v>
      </c>
      <c r="D4" s="1">
        <v>1963</v>
      </c>
      <c r="E4" s="1">
        <v>7</v>
      </c>
      <c r="F4" s="1">
        <v>99</v>
      </c>
      <c r="G4" s="1">
        <v>1979</v>
      </c>
      <c r="H4" s="1">
        <v>39</v>
      </c>
      <c r="I4">
        <v>504</v>
      </c>
      <c r="J4">
        <v>1995</v>
      </c>
      <c r="K4">
        <v>178</v>
      </c>
      <c r="L4">
        <v>1877</v>
      </c>
    </row>
    <row r="5" spans="1:12" x14ac:dyDescent="0.25">
      <c r="A5" s="1">
        <v>1948</v>
      </c>
      <c r="B5" s="1">
        <v>1</v>
      </c>
      <c r="C5" s="1">
        <v>30</v>
      </c>
      <c r="D5" s="1">
        <v>1964</v>
      </c>
      <c r="E5" s="1">
        <v>6</v>
      </c>
      <c r="F5" s="1">
        <v>105</v>
      </c>
      <c r="G5" s="1">
        <v>1980</v>
      </c>
      <c r="H5" s="1">
        <v>28</v>
      </c>
      <c r="I5">
        <v>532</v>
      </c>
      <c r="J5">
        <v>1996</v>
      </c>
      <c r="K5">
        <v>191</v>
      </c>
      <c r="L5">
        <v>2068</v>
      </c>
    </row>
    <row r="6" spans="1:12" x14ac:dyDescent="0.25">
      <c r="A6" s="1">
        <v>1949</v>
      </c>
      <c r="B6" s="1">
        <v>2</v>
      </c>
      <c r="C6" s="1">
        <v>32</v>
      </c>
      <c r="D6" s="1">
        <v>1965</v>
      </c>
      <c r="E6" s="1">
        <v>11</v>
      </c>
      <c r="F6" s="1">
        <v>116</v>
      </c>
      <c r="G6" s="1">
        <v>1981</v>
      </c>
      <c r="H6" s="1">
        <v>43</v>
      </c>
      <c r="I6">
        <v>575</v>
      </c>
      <c r="J6">
        <v>1997</v>
      </c>
      <c r="K6">
        <v>171</v>
      </c>
      <c r="L6">
        <v>2239</v>
      </c>
    </row>
    <row r="7" spans="1:12" x14ac:dyDescent="0.25">
      <c r="A7" s="1">
        <v>1950</v>
      </c>
      <c r="B7" s="1">
        <v>2</v>
      </c>
      <c r="C7" s="1">
        <v>34</v>
      </c>
      <c r="D7" s="1">
        <v>1966</v>
      </c>
      <c r="E7" s="1">
        <v>19</v>
      </c>
      <c r="F7" s="1">
        <v>135</v>
      </c>
      <c r="G7" s="1">
        <v>1982</v>
      </c>
      <c r="H7" s="1">
        <v>48</v>
      </c>
      <c r="I7">
        <v>623</v>
      </c>
      <c r="J7">
        <v>1998</v>
      </c>
      <c r="K7">
        <v>212</v>
      </c>
      <c r="L7">
        <v>2451</v>
      </c>
    </row>
    <row r="8" spans="1:12" x14ac:dyDescent="0.25">
      <c r="A8" s="1">
        <v>1951</v>
      </c>
      <c r="B8" s="1">
        <v>1</v>
      </c>
      <c r="C8" s="1">
        <v>35</v>
      </c>
      <c r="D8" s="1">
        <v>1967</v>
      </c>
      <c r="E8" s="1">
        <v>23</v>
      </c>
      <c r="F8" s="1">
        <v>158</v>
      </c>
      <c r="G8" s="1">
        <v>1983</v>
      </c>
      <c r="H8" s="1">
        <v>60</v>
      </c>
      <c r="I8">
        <v>683</v>
      </c>
      <c r="J8">
        <v>1999</v>
      </c>
      <c r="K8">
        <v>201</v>
      </c>
      <c r="L8">
        <v>2652</v>
      </c>
    </row>
    <row r="9" spans="1:12" x14ac:dyDescent="0.25">
      <c r="A9" s="1">
        <v>1952</v>
      </c>
      <c r="B9" s="1">
        <v>1</v>
      </c>
      <c r="C9" s="1">
        <v>36</v>
      </c>
      <c r="D9" s="1">
        <v>1968</v>
      </c>
      <c r="E9" s="1">
        <v>20</v>
      </c>
      <c r="F9" s="1">
        <v>178</v>
      </c>
      <c r="G9" s="1">
        <v>1984</v>
      </c>
      <c r="H9" s="1">
        <v>53</v>
      </c>
      <c r="I9">
        <v>736</v>
      </c>
      <c r="J9">
        <v>2000</v>
      </c>
      <c r="K9">
        <v>176</v>
      </c>
      <c r="L9">
        <v>2828</v>
      </c>
    </row>
    <row r="10" spans="1:12" x14ac:dyDescent="0.25">
      <c r="A10" s="1">
        <v>1953</v>
      </c>
      <c r="B10" s="1">
        <v>4</v>
      </c>
      <c r="C10" s="1">
        <v>40</v>
      </c>
      <c r="D10" s="1">
        <v>1969</v>
      </c>
      <c r="E10" s="1">
        <v>7</v>
      </c>
      <c r="F10" s="1">
        <v>185</v>
      </c>
      <c r="G10" s="1">
        <v>1985</v>
      </c>
      <c r="H10" s="1">
        <v>44</v>
      </c>
      <c r="I10">
        <v>780</v>
      </c>
      <c r="J10">
        <v>2001</v>
      </c>
      <c r="K10">
        <v>204</v>
      </c>
      <c r="L10">
        <v>3032</v>
      </c>
    </row>
    <row r="11" spans="1:12" x14ac:dyDescent="0.25">
      <c r="A11" s="1">
        <v>1954</v>
      </c>
      <c r="B11" s="1">
        <v>8</v>
      </c>
      <c r="C11" s="1">
        <v>48</v>
      </c>
      <c r="D11" s="1">
        <v>1970</v>
      </c>
      <c r="E11" s="1">
        <v>19</v>
      </c>
      <c r="F11" s="1">
        <v>204</v>
      </c>
      <c r="G11" s="1">
        <v>1986</v>
      </c>
      <c r="H11" s="1">
        <v>72</v>
      </c>
      <c r="I11">
        <v>852</v>
      </c>
      <c r="J11">
        <v>2002</v>
      </c>
      <c r="K11">
        <v>276</v>
      </c>
      <c r="L11">
        <v>3308</v>
      </c>
    </row>
    <row r="12" spans="1:12" x14ac:dyDescent="0.25">
      <c r="A12" s="1">
        <v>1955</v>
      </c>
      <c r="B12" s="1">
        <v>9</v>
      </c>
      <c r="C12" s="1">
        <v>57</v>
      </c>
      <c r="D12" s="1">
        <v>1971</v>
      </c>
      <c r="E12" s="1">
        <v>40</v>
      </c>
      <c r="F12" s="1">
        <v>244</v>
      </c>
      <c r="G12" s="1">
        <v>1987</v>
      </c>
      <c r="H12" s="1">
        <v>93</v>
      </c>
      <c r="I12">
        <v>945</v>
      </c>
      <c r="J12">
        <v>2003</v>
      </c>
      <c r="K12">
        <v>276</v>
      </c>
      <c r="L12">
        <v>3584</v>
      </c>
    </row>
    <row r="13" spans="1:12" x14ac:dyDescent="0.25">
      <c r="A13" s="1">
        <v>1956</v>
      </c>
      <c r="B13" s="1">
        <v>7</v>
      </c>
      <c r="C13" s="1">
        <v>64</v>
      </c>
      <c r="D13" s="1">
        <v>1972</v>
      </c>
      <c r="E13" s="1">
        <v>29</v>
      </c>
      <c r="F13" s="1">
        <v>273</v>
      </c>
      <c r="G13" s="1">
        <v>1988</v>
      </c>
      <c r="H13" s="1">
        <v>100</v>
      </c>
      <c r="I13">
        <v>1045</v>
      </c>
      <c r="J13">
        <v>2004</v>
      </c>
      <c r="K13">
        <v>312</v>
      </c>
      <c r="L13">
        <v>3896</v>
      </c>
    </row>
    <row r="14" spans="1:12" x14ac:dyDescent="0.25">
      <c r="A14" s="1">
        <v>1957</v>
      </c>
      <c r="B14" s="1">
        <v>5</v>
      </c>
      <c r="C14" s="1">
        <v>69</v>
      </c>
      <c r="D14" s="1">
        <v>1973</v>
      </c>
      <c r="E14" s="1">
        <v>17</v>
      </c>
      <c r="F14" s="1">
        <v>290</v>
      </c>
      <c r="G14" s="1">
        <v>1989</v>
      </c>
      <c r="H14" s="1">
        <v>71</v>
      </c>
      <c r="I14">
        <v>116</v>
      </c>
      <c r="J14">
        <v>2005</v>
      </c>
      <c r="K14">
        <v>329</v>
      </c>
      <c r="L14">
        <v>4225</v>
      </c>
    </row>
    <row r="15" spans="1:12" x14ac:dyDescent="0.25">
      <c r="A15" s="1">
        <v>1958</v>
      </c>
      <c r="B15" s="1">
        <v>5</v>
      </c>
      <c r="C15" s="1">
        <v>74</v>
      </c>
      <c r="D15" s="1">
        <v>1974</v>
      </c>
      <c r="E15" s="1">
        <v>41</v>
      </c>
      <c r="F15" s="1">
        <v>331</v>
      </c>
      <c r="G15" s="1">
        <v>1990</v>
      </c>
      <c r="H15" s="1">
        <v>89</v>
      </c>
      <c r="I15">
        <v>1205</v>
      </c>
      <c r="J15">
        <v>2006</v>
      </c>
      <c r="K15">
        <v>408</v>
      </c>
      <c r="L15">
        <v>4633</v>
      </c>
    </row>
    <row r="16" spans="1:12" x14ac:dyDescent="0.25">
      <c r="A16" s="1">
        <v>1959</v>
      </c>
      <c r="B16" s="1">
        <v>5</v>
      </c>
      <c r="C16" s="1">
        <v>79</v>
      </c>
      <c r="D16" s="1">
        <v>1975</v>
      </c>
      <c r="E16" s="1">
        <v>20</v>
      </c>
      <c r="F16" s="1">
        <v>351</v>
      </c>
      <c r="G16" s="1">
        <v>1991</v>
      </c>
      <c r="H16" s="1">
        <v>99</v>
      </c>
      <c r="I16">
        <v>1304</v>
      </c>
      <c r="J16">
        <v>2007</v>
      </c>
      <c r="K16">
        <v>438</v>
      </c>
      <c r="L16">
        <v>5071</v>
      </c>
    </row>
    <row r="17" spans="1:12" x14ac:dyDescent="0.25">
      <c r="A17" s="1">
        <v>1960</v>
      </c>
      <c r="B17" s="1">
        <v>2</v>
      </c>
      <c r="C17" s="1">
        <v>81</v>
      </c>
      <c r="D17" s="1">
        <v>1976</v>
      </c>
      <c r="E17" s="1">
        <v>48</v>
      </c>
      <c r="F17" s="1">
        <v>399</v>
      </c>
      <c r="G17" s="1">
        <v>1992</v>
      </c>
      <c r="H17" s="1">
        <v>139</v>
      </c>
      <c r="I17">
        <v>1443</v>
      </c>
      <c r="J17">
        <v>2008</v>
      </c>
      <c r="K17">
        <v>628</v>
      </c>
      <c r="L17">
        <v>5699</v>
      </c>
    </row>
    <row r="18" spans="1:12" x14ac:dyDescent="0.25">
      <c r="A18" s="1">
        <v>1961</v>
      </c>
      <c r="B18" s="1">
        <v>4</v>
      </c>
      <c r="C18" s="1">
        <v>85</v>
      </c>
      <c r="D18" s="1">
        <v>1977</v>
      </c>
      <c r="E18" s="1">
        <v>30</v>
      </c>
      <c r="F18" s="1">
        <v>429</v>
      </c>
      <c r="G18" s="1">
        <v>1993</v>
      </c>
      <c r="H18" s="1">
        <v>131</v>
      </c>
      <c r="I18">
        <v>1574</v>
      </c>
      <c r="J18">
        <v>2009</v>
      </c>
      <c r="K18">
        <v>819</v>
      </c>
      <c r="L18">
        <v>6518</v>
      </c>
    </row>
    <row r="19" spans="1:12" x14ac:dyDescent="0.25">
      <c r="A19" s="1">
        <v>1962</v>
      </c>
      <c r="B19" s="1">
        <v>7</v>
      </c>
      <c r="C19" s="1">
        <v>92</v>
      </c>
      <c r="D19" s="1">
        <v>1978</v>
      </c>
      <c r="E19" s="1">
        <v>36</v>
      </c>
      <c r="F19" s="1">
        <v>465</v>
      </c>
      <c r="G19" s="1">
        <v>1994</v>
      </c>
      <c r="H19" s="1">
        <v>125</v>
      </c>
      <c r="I19">
        <v>1699</v>
      </c>
      <c r="J19">
        <v>2010</v>
      </c>
      <c r="K19">
        <v>826</v>
      </c>
      <c r="L19">
        <v>7344</v>
      </c>
    </row>
    <row r="20" spans="1:12" x14ac:dyDescent="0.25">
      <c r="J20">
        <v>2011</v>
      </c>
      <c r="K20">
        <v>954</v>
      </c>
      <c r="L20">
        <v>8298</v>
      </c>
    </row>
    <row r="21" spans="1:12" x14ac:dyDescent="0.25">
      <c r="J21">
        <v>2012</v>
      </c>
      <c r="K21">
        <v>700</v>
      </c>
      <c r="L21">
        <v>8998</v>
      </c>
    </row>
  </sheetData>
  <pageMargins left="0.75" right="0.75" top="1" bottom="1" header="0.5" footer="0.5"/>
  <ignoredErrors>
    <ignoredError sqref="K22:K2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Enrolment by Discipline</vt:lpstr>
      <vt:lpstr>Enrolment by Province</vt:lpstr>
      <vt:lpstr>Faculty by province</vt:lpstr>
      <vt:lpstr>Number of PhDs Produced by Paki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2026-07-28T09:53:29Z</dcterms:created>
  <dcterms:modified xsi:type="dcterms:W3CDTF">2026-07-29T11:22:30Z</dcterms:modified>
</cp:coreProperties>
</file>