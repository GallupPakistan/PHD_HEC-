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fiz Ahmed\Desktop\pdf_data\extracted\"/>
    </mc:Choice>
  </mc:AlternateContent>
  <xr:revisionPtr revIDLastSave="0" documentId="13_ncr:1_{4FED455B-E81F-45D4-99B0-D3251C3336FF}" xr6:coauthVersionLast="47" xr6:coauthVersionMax="47" xr10:uidLastSave="{00000000-0000-0000-0000-000000000000}"/>
  <bookViews>
    <workbookView xWindow="-120" yWindow="-120" windowWidth="20730" windowHeight="11040" firstSheet="4" activeTab="6" xr2:uid="{00000000-000D-0000-FFFF-FFFF00000000}"/>
  </bookViews>
  <sheets>
    <sheet name="Index" sheetId="1" r:id="rId1"/>
    <sheet name="Enrolment by Discipline" sheetId="3" r:id="rId2"/>
    <sheet name="Enrolment by province" sheetId="4" r:id="rId3"/>
    <sheet name="Faculty by Province" sheetId="5" r:id="rId4"/>
    <sheet name="Number of PhDs Produced by Paki" sheetId="7" r:id="rId5"/>
    <sheet name="PhDs by Discipline" sheetId="8" r:id="rId6"/>
    <sheet name="Graduates Produced by Level of 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C5" i="5"/>
  <c r="C6" i="5"/>
  <c r="C7" i="5"/>
  <c r="C8" i="5"/>
  <c r="C9" i="5"/>
  <c r="C10" i="5"/>
  <c r="C4" i="5"/>
</calcChain>
</file>

<file path=xl/sharedStrings.xml><?xml version="1.0" encoding="utf-8"?>
<sst xmlns="http://schemas.openxmlformats.org/spreadsheetml/2006/main" count="103" uniqueCount="73">
  <si>
    <t>Sheet Name</t>
  </si>
  <si>
    <t>Table Heading (as in report)</t>
  </si>
  <si>
    <t>Source Page</t>
  </si>
  <si>
    <t>Statistics</t>
  </si>
  <si>
    <t>(heading not detected)</t>
  </si>
  <si>
    <t>p145 (2)</t>
  </si>
  <si>
    <t>p146</t>
  </si>
  <si>
    <t>p147</t>
  </si>
  <si>
    <t>p148</t>
  </si>
  <si>
    <t>p149</t>
  </si>
  <si>
    <t>p151</t>
  </si>
  <si>
    <t>p151 (2)</t>
  </si>
  <si>
    <t>Discipline</t>
  </si>
  <si>
    <t>Total Students</t>
  </si>
  <si>
    <t>General</t>
  </si>
  <si>
    <t>Engineering and Technology</t>
  </si>
  <si>
    <t>Computer Science and IT</t>
  </si>
  <si>
    <t>Agriculture / Veterinary</t>
  </si>
  <si>
    <t>Business Education</t>
  </si>
  <si>
    <t>Medical</t>
  </si>
  <si>
    <t>Arts and Design</t>
  </si>
  <si>
    <t>Province</t>
  </si>
  <si>
    <t>Undergraduate</t>
  </si>
  <si>
    <t>Graduate</t>
  </si>
  <si>
    <t>Punjab</t>
  </si>
  <si>
    <t>Sindh</t>
  </si>
  <si>
    <t>47,607</t>
  </si>
  <si>
    <t>Federal</t>
  </si>
  <si>
    <t>35,545</t>
  </si>
  <si>
    <t>KPK</t>
  </si>
  <si>
    <t>31,091</t>
  </si>
  <si>
    <t>Balochistan</t>
  </si>
  <si>
    <t>7,548</t>
  </si>
  <si>
    <t>AJK</t>
  </si>
  <si>
    <t>4,768</t>
  </si>
  <si>
    <t>Gilgit-Baltistan</t>
  </si>
  <si>
    <t>681</t>
  </si>
  <si>
    <t>PhD Faculty</t>
  </si>
  <si>
    <t>Total Faculty</t>
  </si>
  <si>
    <t>PhDs Produced</t>
  </si>
  <si>
    <t>Total Cumulative</t>
  </si>
  <si>
    <t>29*</t>
  </si>
  <si>
    <t>1947 to 2002</t>
  </si>
  <si>
    <t>Agriculture and Veterinary Sciences</t>
  </si>
  <si>
    <t>Arts and Humanities</t>
  </si>
  <si>
    <t>Biological and Medical Sciences</t>
  </si>
  <si>
    <t>Honorary</t>
  </si>
  <si>
    <t>Physical Sciences</t>
  </si>
  <si>
    <t>Social Sciences</t>
  </si>
  <si>
    <t>Grand Total</t>
  </si>
  <si>
    <t>2005-06</t>
  </si>
  <si>
    <t>2006-07</t>
  </si>
  <si>
    <t>2007-08</t>
  </si>
  <si>
    <t>2008-09</t>
  </si>
  <si>
    <t>Level of Education</t>
  </si>
  <si>
    <t>Bachelor 14&amp;15</t>
  </si>
  <si>
    <t>Bachelor 16&amp;17</t>
  </si>
  <si>
    <t>Master</t>
  </si>
  <si>
    <t>MasterHons</t>
  </si>
  <si>
    <t>MPhil</t>
  </si>
  <si>
    <t>PhD</t>
  </si>
  <si>
    <t>PGD /Certificates/Others</t>
  </si>
  <si>
    <t>Total Graduates</t>
  </si>
  <si>
    <t>Enrolment by Discipline</t>
  </si>
  <si>
    <t>Enrolment by province</t>
  </si>
  <si>
    <t>Faculty by Province</t>
  </si>
  <si>
    <t>Year</t>
  </si>
  <si>
    <t>Number of PhDs Produced by Pakistani Universities</t>
  </si>
  <si>
    <t>Graduates Produced by Level of Degree</t>
  </si>
  <si>
    <t>PhDs by Discipline</t>
  </si>
  <si>
    <t>Non-PhD Faculty</t>
  </si>
  <si>
    <t>2003 to 2012</t>
  </si>
  <si>
    <t>1947 to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</si>
</sst>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77" zoomScaleNormal="77" workbookViewId="0">
      <selection activeCell="B11" sqref="B11"/>
    </sheetView>
  </sheetViews>
  <sheetFormatPr defaultRowHeight="15" x14ac:dyDescent="0.25"/>
  <cols>
    <col min="1" max="1" width="20" customWidth="1"/>
    <col min="2" max="2" width="6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>
        <v>142</v>
      </c>
    </row>
    <row r="3" spans="1:3" x14ac:dyDescent="0.25">
      <c r="A3" t="s">
        <v>63</v>
      </c>
      <c r="B3" t="s">
        <v>63</v>
      </c>
      <c r="C3">
        <v>145</v>
      </c>
    </row>
    <row r="4" spans="1:3" x14ac:dyDescent="0.25">
      <c r="A4" t="s">
        <v>5</v>
      </c>
      <c r="B4" t="s">
        <v>4</v>
      </c>
      <c r="C4">
        <v>145</v>
      </c>
    </row>
    <row r="5" spans="1:3" x14ac:dyDescent="0.25">
      <c r="A5" t="s">
        <v>6</v>
      </c>
      <c r="B5" t="s">
        <v>4</v>
      </c>
      <c r="C5">
        <v>146</v>
      </c>
    </row>
    <row r="6" spans="1:3" x14ac:dyDescent="0.25">
      <c r="A6" t="s">
        <v>7</v>
      </c>
      <c r="B6" t="s">
        <v>4</v>
      </c>
      <c r="C6">
        <v>147</v>
      </c>
    </row>
    <row r="7" spans="1:3" x14ac:dyDescent="0.25">
      <c r="A7" t="s">
        <v>8</v>
      </c>
      <c r="B7" t="s">
        <v>4</v>
      </c>
      <c r="C7">
        <v>148</v>
      </c>
    </row>
    <row r="8" spans="1:3" x14ac:dyDescent="0.25">
      <c r="A8" t="s">
        <v>9</v>
      </c>
      <c r="B8" t="s">
        <v>4</v>
      </c>
      <c r="C8">
        <v>149</v>
      </c>
    </row>
    <row r="9" spans="1:3" x14ac:dyDescent="0.25">
      <c r="A9" t="s">
        <v>10</v>
      </c>
      <c r="B9" t="s">
        <v>4</v>
      </c>
      <c r="C9">
        <v>151</v>
      </c>
    </row>
    <row r="10" spans="1:3" x14ac:dyDescent="0.25">
      <c r="A10" t="s">
        <v>11</v>
      </c>
      <c r="B10" t="s">
        <v>4</v>
      </c>
      <c r="C10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0" sqref="B4:B10"/>
    </sheetView>
  </sheetViews>
  <sheetFormatPr defaultRowHeight="15" x14ac:dyDescent="0.25"/>
  <cols>
    <col min="1" max="1" width="32" customWidth="1"/>
    <col min="2" max="2" width="18" customWidth="1"/>
  </cols>
  <sheetData>
    <row r="1" spans="1:2" ht="12" customHeight="1" x14ac:dyDescent="0.25">
      <c r="A1" t="s">
        <v>63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s="2">
        <v>406163</v>
      </c>
    </row>
    <row r="5" spans="1:2" x14ac:dyDescent="0.25">
      <c r="A5" t="s">
        <v>15</v>
      </c>
      <c r="B5" s="2">
        <v>62566</v>
      </c>
    </row>
    <row r="6" spans="1:2" x14ac:dyDescent="0.25">
      <c r="A6" t="s">
        <v>16</v>
      </c>
      <c r="B6" s="2">
        <v>35600</v>
      </c>
    </row>
    <row r="7" spans="1:2" x14ac:dyDescent="0.25">
      <c r="A7" t="s">
        <v>17</v>
      </c>
      <c r="B7" s="2">
        <v>34662</v>
      </c>
    </row>
    <row r="8" spans="1:2" x14ac:dyDescent="0.25">
      <c r="A8" t="s">
        <v>18</v>
      </c>
      <c r="B8" s="2">
        <v>35409</v>
      </c>
    </row>
    <row r="9" spans="1:2" x14ac:dyDescent="0.25">
      <c r="A9" t="s">
        <v>19</v>
      </c>
      <c r="B9" s="2">
        <v>21342</v>
      </c>
    </row>
    <row r="10" spans="1:2" x14ac:dyDescent="0.25">
      <c r="A10" t="s">
        <v>20</v>
      </c>
      <c r="B10" s="2">
        <v>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F11" sqref="F11"/>
    </sheetView>
  </sheetViews>
  <sheetFormatPr defaultRowHeight="15" x14ac:dyDescent="0.25"/>
  <cols>
    <col min="1" max="3" width="18" customWidth="1"/>
  </cols>
  <sheetData>
    <row r="1" spans="1:4" x14ac:dyDescent="0.25">
      <c r="A1" t="s">
        <v>64</v>
      </c>
    </row>
    <row r="3" spans="1:4" x14ac:dyDescent="0.25">
      <c r="A3" t="s">
        <v>21</v>
      </c>
      <c r="B3" t="s">
        <v>22</v>
      </c>
      <c r="C3" t="s">
        <v>23</v>
      </c>
      <c r="D3" t="s">
        <v>13</v>
      </c>
    </row>
    <row r="4" spans="1:4" x14ac:dyDescent="0.25">
      <c r="A4" t="s">
        <v>24</v>
      </c>
      <c r="B4" s="2">
        <v>136933</v>
      </c>
      <c r="C4" s="2">
        <v>82030</v>
      </c>
      <c r="D4">
        <f>SUM(B4:C4)</f>
        <v>218963</v>
      </c>
    </row>
    <row r="5" spans="1:4" x14ac:dyDescent="0.25">
      <c r="A5" t="s">
        <v>25</v>
      </c>
      <c r="B5" s="2">
        <v>112197</v>
      </c>
      <c r="C5" s="2">
        <v>47607</v>
      </c>
      <c r="D5">
        <f t="shared" ref="D5:D10" si="0">SUM(B5,C5)</f>
        <v>159804</v>
      </c>
    </row>
    <row r="6" spans="1:4" x14ac:dyDescent="0.25">
      <c r="A6" t="s">
        <v>27</v>
      </c>
      <c r="B6" s="2">
        <v>75616</v>
      </c>
      <c r="C6" s="2">
        <v>35545</v>
      </c>
      <c r="D6">
        <f t="shared" si="0"/>
        <v>111161</v>
      </c>
    </row>
    <row r="7" spans="1:4" x14ac:dyDescent="0.25">
      <c r="A7" t="s">
        <v>29</v>
      </c>
      <c r="B7" s="2">
        <v>49966</v>
      </c>
      <c r="C7" s="2">
        <v>31091</v>
      </c>
      <c r="D7">
        <f t="shared" si="0"/>
        <v>81057</v>
      </c>
    </row>
    <row r="8" spans="1:4" x14ac:dyDescent="0.25">
      <c r="A8" t="s">
        <v>31</v>
      </c>
      <c r="B8" s="2">
        <v>7791</v>
      </c>
      <c r="C8" s="2">
        <v>7548</v>
      </c>
      <c r="D8">
        <f t="shared" si="0"/>
        <v>15339</v>
      </c>
    </row>
    <row r="9" spans="1:4" x14ac:dyDescent="0.25">
      <c r="A9" t="s">
        <v>33</v>
      </c>
      <c r="B9" s="2">
        <v>6392</v>
      </c>
      <c r="C9" s="2">
        <v>4768</v>
      </c>
      <c r="D9">
        <f t="shared" si="0"/>
        <v>11160</v>
      </c>
    </row>
    <row r="10" spans="1:4" x14ac:dyDescent="0.25">
      <c r="A10" t="s">
        <v>35</v>
      </c>
      <c r="B10" s="2">
        <v>1086</v>
      </c>
      <c r="C10" s="1">
        <v>681</v>
      </c>
      <c r="D10">
        <f t="shared" si="0"/>
        <v>1767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F9" sqref="F9"/>
    </sheetView>
  </sheetViews>
  <sheetFormatPr defaultRowHeight="15" x14ac:dyDescent="0.25"/>
  <cols>
    <col min="1" max="4" width="18" customWidth="1"/>
  </cols>
  <sheetData>
    <row r="1" spans="1:4" x14ac:dyDescent="0.25">
      <c r="A1" t="s">
        <v>65</v>
      </c>
    </row>
    <row r="3" spans="1:4" x14ac:dyDescent="0.25">
      <c r="A3" t="s">
        <v>21</v>
      </c>
      <c r="B3" t="s">
        <v>37</v>
      </c>
      <c r="C3" t="s">
        <v>70</v>
      </c>
      <c r="D3" t="s">
        <v>38</v>
      </c>
    </row>
    <row r="4" spans="1:4" x14ac:dyDescent="0.25">
      <c r="A4" t="s">
        <v>24</v>
      </c>
      <c r="B4" s="1">
        <v>2458</v>
      </c>
      <c r="C4">
        <f>D4-B4</f>
        <v>9227</v>
      </c>
      <c r="D4" s="1">
        <v>11685</v>
      </c>
    </row>
    <row r="5" spans="1:4" x14ac:dyDescent="0.25">
      <c r="A5" t="s">
        <v>25</v>
      </c>
      <c r="B5" s="1">
        <v>1429</v>
      </c>
      <c r="C5">
        <f t="shared" ref="C5:C10" si="0">D5-B5</f>
        <v>7529</v>
      </c>
      <c r="D5" s="1">
        <v>8958</v>
      </c>
    </row>
    <row r="6" spans="1:4" x14ac:dyDescent="0.25">
      <c r="A6" t="s">
        <v>27</v>
      </c>
      <c r="B6" s="1">
        <v>1467</v>
      </c>
      <c r="C6">
        <f t="shared" si="0"/>
        <v>5603</v>
      </c>
      <c r="D6" s="1">
        <v>7070</v>
      </c>
    </row>
    <row r="7" spans="1:4" x14ac:dyDescent="0.25">
      <c r="A7" t="s">
        <v>29</v>
      </c>
      <c r="B7" s="1">
        <v>955</v>
      </c>
      <c r="C7">
        <f t="shared" si="0"/>
        <v>3250</v>
      </c>
      <c r="D7" s="1">
        <v>4205</v>
      </c>
    </row>
    <row r="8" spans="1:4" x14ac:dyDescent="0.25">
      <c r="A8" t="s">
        <v>31</v>
      </c>
      <c r="B8" s="1">
        <v>92</v>
      </c>
      <c r="C8">
        <f t="shared" si="0"/>
        <v>1052</v>
      </c>
      <c r="D8" s="1">
        <v>1144</v>
      </c>
    </row>
    <row r="9" spans="1:4" x14ac:dyDescent="0.25">
      <c r="A9" t="s">
        <v>33</v>
      </c>
      <c r="B9" s="1">
        <v>97</v>
      </c>
      <c r="C9">
        <f t="shared" si="0"/>
        <v>528</v>
      </c>
      <c r="D9" s="1">
        <v>625</v>
      </c>
    </row>
    <row r="10" spans="1:4" x14ac:dyDescent="0.25">
      <c r="A10" t="s">
        <v>35</v>
      </c>
      <c r="B10" s="1">
        <v>26</v>
      </c>
      <c r="C10">
        <f t="shared" si="0"/>
        <v>130</v>
      </c>
      <c r="D10" s="1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topLeftCell="D7" workbookViewId="0">
      <selection activeCell="F9" sqref="F9"/>
    </sheetView>
  </sheetViews>
  <sheetFormatPr defaultRowHeight="15" x14ac:dyDescent="0.25"/>
  <cols>
    <col min="1" max="12" width="18" customWidth="1"/>
  </cols>
  <sheetData>
    <row r="1" spans="1:12" x14ac:dyDescent="0.25">
      <c r="A1" t="s">
        <v>67</v>
      </c>
    </row>
    <row r="3" spans="1:12" x14ac:dyDescent="0.25">
      <c r="A3" t="s">
        <v>66</v>
      </c>
      <c r="B3" t="s">
        <v>39</v>
      </c>
      <c r="C3" t="s">
        <v>40</v>
      </c>
      <c r="D3" t="s">
        <v>66</v>
      </c>
      <c r="E3" t="s">
        <v>39</v>
      </c>
      <c r="F3" t="s">
        <v>40</v>
      </c>
      <c r="G3" t="s">
        <v>66</v>
      </c>
      <c r="H3" t="s">
        <v>39</v>
      </c>
      <c r="I3" t="s">
        <v>40</v>
      </c>
      <c r="J3" t="s">
        <v>66</v>
      </c>
      <c r="K3" t="s">
        <v>39</v>
      </c>
      <c r="L3" t="s">
        <v>40</v>
      </c>
    </row>
    <row r="4" spans="1:12" x14ac:dyDescent="0.25">
      <c r="A4" s="1">
        <v>1947</v>
      </c>
      <c r="B4" s="1">
        <v>4</v>
      </c>
      <c r="C4" t="s">
        <v>41</v>
      </c>
      <c r="D4" s="1">
        <v>1963</v>
      </c>
      <c r="E4" s="1">
        <v>7</v>
      </c>
      <c r="F4" s="1">
        <v>99</v>
      </c>
      <c r="G4" s="1">
        <v>1979</v>
      </c>
      <c r="H4" s="1">
        <v>39</v>
      </c>
      <c r="I4" s="1">
        <v>504</v>
      </c>
      <c r="J4" s="1">
        <v>1995</v>
      </c>
      <c r="K4" s="1">
        <v>178</v>
      </c>
      <c r="L4" s="1">
        <v>1877</v>
      </c>
    </row>
    <row r="5" spans="1:12" x14ac:dyDescent="0.25">
      <c r="A5" s="1">
        <v>1948</v>
      </c>
      <c r="B5" s="1">
        <v>1</v>
      </c>
      <c r="C5" s="1">
        <v>30</v>
      </c>
      <c r="D5" s="1">
        <v>1964</v>
      </c>
      <c r="E5" s="1">
        <v>6</v>
      </c>
      <c r="F5" s="1">
        <v>105</v>
      </c>
      <c r="G5" s="1">
        <v>1980</v>
      </c>
      <c r="H5" s="1">
        <v>28</v>
      </c>
      <c r="I5" s="1">
        <v>532</v>
      </c>
      <c r="J5" s="1">
        <v>1996</v>
      </c>
      <c r="K5" s="1">
        <v>191</v>
      </c>
      <c r="L5" s="1">
        <v>2068</v>
      </c>
    </row>
    <row r="6" spans="1:12" x14ac:dyDescent="0.25">
      <c r="A6" s="1">
        <v>1949</v>
      </c>
      <c r="B6" s="1">
        <v>2</v>
      </c>
      <c r="C6" s="1">
        <v>32</v>
      </c>
      <c r="D6" s="1">
        <v>1965</v>
      </c>
      <c r="E6" s="1">
        <v>11</v>
      </c>
      <c r="F6" s="1">
        <v>116</v>
      </c>
      <c r="G6" s="1">
        <v>1981</v>
      </c>
      <c r="H6" s="1">
        <v>43</v>
      </c>
      <c r="I6" s="1">
        <v>575</v>
      </c>
      <c r="J6" s="1">
        <v>1997</v>
      </c>
      <c r="K6" s="1">
        <v>171</v>
      </c>
      <c r="L6" s="1">
        <v>2239</v>
      </c>
    </row>
    <row r="7" spans="1:12" x14ac:dyDescent="0.25">
      <c r="A7" s="1">
        <v>1950</v>
      </c>
      <c r="B7" s="1">
        <v>2</v>
      </c>
      <c r="C7" s="1">
        <v>34</v>
      </c>
      <c r="D7" s="1">
        <v>1966</v>
      </c>
      <c r="E7" s="1">
        <v>19</v>
      </c>
      <c r="F7" s="1">
        <v>135</v>
      </c>
      <c r="G7" s="1">
        <v>1982</v>
      </c>
      <c r="H7" s="1">
        <v>48</v>
      </c>
      <c r="I7" s="1">
        <v>623</v>
      </c>
      <c r="J7" s="1">
        <v>1998</v>
      </c>
      <c r="K7" s="1">
        <v>212</v>
      </c>
      <c r="L7" s="1">
        <v>2451</v>
      </c>
    </row>
    <row r="8" spans="1:12" x14ac:dyDescent="0.25">
      <c r="A8" s="1">
        <v>1951</v>
      </c>
      <c r="B8" s="1">
        <v>1</v>
      </c>
      <c r="C8" s="1">
        <v>35</v>
      </c>
      <c r="D8" s="1">
        <v>1967</v>
      </c>
      <c r="E8" s="1">
        <v>23</v>
      </c>
      <c r="F8" s="1">
        <v>158</v>
      </c>
      <c r="G8" s="1">
        <v>1983</v>
      </c>
      <c r="H8" s="1">
        <v>60</v>
      </c>
      <c r="I8" s="1">
        <v>683</v>
      </c>
      <c r="J8" s="1">
        <v>1999</v>
      </c>
      <c r="K8" s="1">
        <v>201</v>
      </c>
      <c r="L8" s="1">
        <v>2652</v>
      </c>
    </row>
    <row r="9" spans="1:12" x14ac:dyDescent="0.25">
      <c r="A9" s="1">
        <v>1952</v>
      </c>
      <c r="B9" s="1">
        <v>1</v>
      </c>
      <c r="C9" s="1">
        <v>36</v>
      </c>
      <c r="D9" s="1">
        <v>1968</v>
      </c>
      <c r="E9" s="1">
        <v>20</v>
      </c>
      <c r="F9" s="1">
        <v>178</v>
      </c>
      <c r="G9" s="1">
        <v>1984</v>
      </c>
      <c r="H9" s="1">
        <v>53</v>
      </c>
      <c r="I9" s="1">
        <v>736</v>
      </c>
      <c r="J9" s="1">
        <v>2000</v>
      </c>
      <c r="K9" s="1">
        <v>176</v>
      </c>
      <c r="L9" s="1">
        <v>2828</v>
      </c>
    </row>
    <row r="10" spans="1:12" x14ac:dyDescent="0.25">
      <c r="A10" s="1">
        <v>1953</v>
      </c>
      <c r="B10" s="1">
        <v>4</v>
      </c>
      <c r="C10" s="1">
        <v>40</v>
      </c>
      <c r="D10" s="1">
        <v>1969</v>
      </c>
      <c r="E10" s="1">
        <v>7</v>
      </c>
      <c r="F10" s="1">
        <v>185</v>
      </c>
      <c r="G10" s="1">
        <v>1985</v>
      </c>
      <c r="H10" s="1">
        <v>44</v>
      </c>
      <c r="I10" s="1">
        <v>780</v>
      </c>
      <c r="J10" s="1">
        <v>2001</v>
      </c>
      <c r="K10" s="1">
        <v>204</v>
      </c>
      <c r="L10" s="1">
        <v>3032</v>
      </c>
    </row>
    <row r="11" spans="1:12" x14ac:dyDescent="0.25">
      <c r="A11" s="1">
        <v>1954</v>
      </c>
      <c r="B11" s="1">
        <v>8</v>
      </c>
      <c r="C11" s="1">
        <v>48</v>
      </c>
      <c r="D11" s="1">
        <v>1970</v>
      </c>
      <c r="E11" s="1">
        <v>19</v>
      </c>
      <c r="F11" s="1">
        <v>204</v>
      </c>
      <c r="G11" s="1">
        <v>1986</v>
      </c>
      <c r="H11" s="1">
        <v>72</v>
      </c>
      <c r="I11" s="1">
        <v>852</v>
      </c>
      <c r="J11" s="1">
        <v>2002</v>
      </c>
      <c r="K11" s="1">
        <v>276</v>
      </c>
      <c r="L11" s="1">
        <v>3308</v>
      </c>
    </row>
    <row r="12" spans="1:12" x14ac:dyDescent="0.25">
      <c r="A12" s="1">
        <v>1955</v>
      </c>
      <c r="B12" s="1">
        <v>9</v>
      </c>
      <c r="C12" s="1">
        <v>57</v>
      </c>
      <c r="D12" s="1">
        <v>1971</v>
      </c>
      <c r="E12" s="1">
        <v>40</v>
      </c>
      <c r="F12" s="1">
        <v>244</v>
      </c>
      <c r="G12" s="1">
        <v>1987</v>
      </c>
      <c r="H12" s="1">
        <v>93</v>
      </c>
      <c r="I12" s="1">
        <v>945</v>
      </c>
      <c r="J12" s="1">
        <v>2003</v>
      </c>
      <c r="K12" s="1">
        <v>276</v>
      </c>
      <c r="L12" s="1">
        <v>3584</v>
      </c>
    </row>
    <row r="13" spans="1:12" x14ac:dyDescent="0.25">
      <c r="A13" s="1">
        <v>1956</v>
      </c>
      <c r="B13" s="1">
        <v>7</v>
      </c>
      <c r="C13" s="1">
        <v>64</v>
      </c>
      <c r="D13" s="1">
        <v>1972</v>
      </c>
      <c r="E13" s="1">
        <v>29</v>
      </c>
      <c r="F13" s="1">
        <v>273</v>
      </c>
      <c r="G13" s="1">
        <v>1988</v>
      </c>
      <c r="H13" s="1">
        <v>100</v>
      </c>
      <c r="I13" s="1">
        <v>1045</v>
      </c>
      <c r="J13" s="1">
        <v>2004</v>
      </c>
      <c r="K13" s="1">
        <v>312</v>
      </c>
      <c r="L13" s="1">
        <v>3896</v>
      </c>
    </row>
    <row r="14" spans="1:12" x14ac:dyDescent="0.25">
      <c r="A14" s="1">
        <v>1957</v>
      </c>
      <c r="B14" s="1">
        <v>5</v>
      </c>
      <c r="C14" s="1">
        <v>69</v>
      </c>
      <c r="D14" s="1">
        <v>1973</v>
      </c>
      <c r="E14" s="1">
        <v>17</v>
      </c>
      <c r="F14" s="1">
        <v>290</v>
      </c>
      <c r="G14" s="1">
        <v>1989</v>
      </c>
      <c r="H14" s="1">
        <v>71</v>
      </c>
      <c r="I14" s="1">
        <v>1116</v>
      </c>
      <c r="J14" s="1">
        <v>2005</v>
      </c>
      <c r="K14" s="1">
        <v>329</v>
      </c>
      <c r="L14" s="1">
        <v>4225</v>
      </c>
    </row>
    <row r="15" spans="1:12" x14ac:dyDescent="0.25">
      <c r="A15" s="1">
        <v>1958</v>
      </c>
      <c r="B15" s="1">
        <v>5</v>
      </c>
      <c r="C15" s="1">
        <v>74</v>
      </c>
      <c r="D15" s="1">
        <v>1974</v>
      </c>
      <c r="E15" s="1">
        <v>41</v>
      </c>
      <c r="F15" s="1">
        <v>331</v>
      </c>
      <c r="G15" s="1">
        <v>1990</v>
      </c>
      <c r="H15" s="1">
        <v>89</v>
      </c>
      <c r="I15" s="1">
        <v>1205</v>
      </c>
      <c r="J15" s="1">
        <v>2006</v>
      </c>
      <c r="K15" s="1">
        <v>408</v>
      </c>
      <c r="L15" s="1">
        <v>4633</v>
      </c>
    </row>
    <row r="16" spans="1:12" x14ac:dyDescent="0.25">
      <c r="A16" s="1">
        <v>1959</v>
      </c>
      <c r="B16" s="1">
        <v>5</v>
      </c>
      <c r="C16" s="1">
        <v>79</v>
      </c>
      <c r="D16" s="1">
        <v>1975</v>
      </c>
      <c r="E16" s="1">
        <v>20</v>
      </c>
      <c r="F16" s="1">
        <v>351</v>
      </c>
      <c r="G16" s="1">
        <v>1991</v>
      </c>
      <c r="H16" s="1">
        <v>99</v>
      </c>
      <c r="I16" s="1">
        <v>1304</v>
      </c>
      <c r="J16" s="1">
        <v>2007</v>
      </c>
      <c r="K16" s="1">
        <v>438</v>
      </c>
      <c r="L16" s="1">
        <v>5071</v>
      </c>
    </row>
    <row r="17" spans="1:12" x14ac:dyDescent="0.25">
      <c r="A17" s="1">
        <v>1960</v>
      </c>
      <c r="B17" s="1">
        <v>2</v>
      </c>
      <c r="C17" s="1">
        <v>81</v>
      </c>
      <c r="D17" s="1">
        <v>1976</v>
      </c>
      <c r="E17" s="1">
        <v>48</v>
      </c>
      <c r="F17" s="1">
        <v>399</v>
      </c>
      <c r="G17" s="1">
        <v>1992</v>
      </c>
      <c r="H17" s="1">
        <v>139</v>
      </c>
      <c r="I17" s="1">
        <v>1443</v>
      </c>
      <c r="J17" s="1">
        <v>2008</v>
      </c>
      <c r="K17" s="1">
        <v>628</v>
      </c>
      <c r="L17" s="1">
        <v>5699</v>
      </c>
    </row>
    <row r="18" spans="1:12" x14ac:dyDescent="0.25">
      <c r="A18" s="1">
        <v>1961</v>
      </c>
      <c r="B18" s="1">
        <v>4</v>
      </c>
      <c r="C18" s="1">
        <v>85</v>
      </c>
      <c r="D18" s="1">
        <v>1977</v>
      </c>
      <c r="E18" s="1">
        <v>30</v>
      </c>
      <c r="F18" s="1">
        <v>429</v>
      </c>
      <c r="G18" s="1">
        <v>1993</v>
      </c>
      <c r="H18" s="1">
        <v>131</v>
      </c>
      <c r="I18" s="1">
        <v>1574</v>
      </c>
      <c r="J18" s="1">
        <v>2009</v>
      </c>
      <c r="K18" s="1">
        <v>819</v>
      </c>
      <c r="L18" s="1">
        <v>6518</v>
      </c>
    </row>
    <row r="19" spans="1:12" x14ac:dyDescent="0.25">
      <c r="A19" s="1">
        <v>1962</v>
      </c>
      <c r="B19" s="1">
        <v>7</v>
      </c>
      <c r="C19" s="1">
        <v>92</v>
      </c>
      <c r="D19" s="1">
        <v>1978</v>
      </c>
      <c r="E19" s="1">
        <v>36</v>
      </c>
      <c r="F19" s="1">
        <v>465</v>
      </c>
      <c r="G19" s="1">
        <v>1994</v>
      </c>
      <c r="H19" s="1">
        <v>125</v>
      </c>
      <c r="I19" s="1">
        <v>1699</v>
      </c>
      <c r="J19" s="1">
        <v>2010</v>
      </c>
      <c r="K19" s="1">
        <v>826</v>
      </c>
      <c r="L19" s="1">
        <v>7344</v>
      </c>
    </row>
    <row r="20" spans="1:12" x14ac:dyDescent="0.25">
      <c r="J20">
        <v>2011</v>
      </c>
      <c r="K20" s="1">
        <v>873</v>
      </c>
      <c r="L20" s="1">
        <v>7217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selection activeCell="D13" sqref="D13"/>
    </sheetView>
  </sheetViews>
  <sheetFormatPr defaultRowHeight="15" x14ac:dyDescent="0.25"/>
  <cols>
    <col min="1" max="1" width="37" customWidth="1"/>
    <col min="2" max="4" width="18" customWidth="1"/>
  </cols>
  <sheetData>
    <row r="1" spans="1:4" x14ac:dyDescent="0.25">
      <c r="A1" t="s">
        <v>69</v>
      </c>
    </row>
    <row r="3" spans="1:4" x14ac:dyDescent="0.25">
      <c r="A3" t="s">
        <v>12</v>
      </c>
      <c r="B3" t="s">
        <v>42</v>
      </c>
      <c r="C3" t="s">
        <v>71</v>
      </c>
      <c r="D3" t="s">
        <v>72</v>
      </c>
    </row>
    <row r="4" spans="1:4" x14ac:dyDescent="0.25">
      <c r="A4" t="s">
        <v>43</v>
      </c>
      <c r="B4" s="1">
        <v>348</v>
      </c>
      <c r="C4" s="1">
        <v>679</v>
      </c>
      <c r="D4" s="1">
        <v>1027</v>
      </c>
    </row>
    <row r="5" spans="1:4" x14ac:dyDescent="0.25">
      <c r="A5" t="s">
        <v>44</v>
      </c>
      <c r="B5" s="1">
        <v>666</v>
      </c>
      <c r="C5" s="1">
        <v>529</v>
      </c>
      <c r="D5" s="1">
        <v>1195</v>
      </c>
    </row>
    <row r="6" spans="1:4" x14ac:dyDescent="0.25">
      <c r="A6" t="s">
        <v>45</v>
      </c>
      <c r="B6" s="1">
        <v>586</v>
      </c>
      <c r="C6" s="1">
        <v>1096</v>
      </c>
      <c r="D6" s="1">
        <v>1681</v>
      </c>
    </row>
    <row r="7" spans="1:4" x14ac:dyDescent="0.25">
      <c r="A7" t="s">
        <v>18</v>
      </c>
      <c r="B7" s="1">
        <v>14</v>
      </c>
      <c r="C7" s="1">
        <v>123</v>
      </c>
      <c r="D7" s="1">
        <v>137</v>
      </c>
    </row>
    <row r="8" spans="1:4" x14ac:dyDescent="0.25">
      <c r="A8" t="s">
        <v>15</v>
      </c>
      <c r="B8" s="1">
        <v>21</v>
      </c>
      <c r="C8" s="1">
        <v>262</v>
      </c>
      <c r="D8" s="1">
        <v>284</v>
      </c>
    </row>
    <row r="9" spans="1:4" x14ac:dyDescent="0.25">
      <c r="A9" t="s">
        <v>46</v>
      </c>
      <c r="B9" s="1">
        <v>50</v>
      </c>
      <c r="C9" s="1">
        <v>8</v>
      </c>
      <c r="D9" s="1">
        <v>58</v>
      </c>
    </row>
    <row r="10" spans="1:4" x14ac:dyDescent="0.25">
      <c r="A10" t="s">
        <v>47</v>
      </c>
      <c r="B10" s="1">
        <v>709</v>
      </c>
      <c r="C10" s="1">
        <v>1071</v>
      </c>
      <c r="D10" s="1">
        <v>1780</v>
      </c>
    </row>
    <row r="11" spans="1:4" x14ac:dyDescent="0.25">
      <c r="A11" t="s">
        <v>48</v>
      </c>
      <c r="B11" s="1">
        <v>887</v>
      </c>
      <c r="C11" s="1">
        <v>1085</v>
      </c>
      <c r="D11" s="1">
        <v>1972</v>
      </c>
    </row>
    <row r="12" spans="1:4" x14ac:dyDescent="0.25">
      <c r="A12" t="s">
        <v>49</v>
      </c>
      <c r="B12" s="1">
        <v>3281</v>
      </c>
      <c r="C12" s="1">
        <v>4853</v>
      </c>
      <c r="D12" s="1">
        <v>8134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tabSelected="1" workbookViewId="0">
      <selection activeCell="H10" sqref="H10"/>
    </sheetView>
  </sheetViews>
  <sheetFormatPr defaultRowHeight="15" x14ac:dyDescent="0.25"/>
  <cols>
    <col min="1" max="5" width="18" customWidth="1"/>
  </cols>
  <sheetData>
    <row r="1" spans="1:5" x14ac:dyDescent="0.25">
      <c r="A1" t="s">
        <v>68</v>
      </c>
    </row>
    <row r="3" spans="1:5" x14ac:dyDescent="0.25">
      <c r="A3" t="s">
        <v>54</v>
      </c>
      <c r="B3" t="s">
        <v>50</v>
      </c>
      <c r="C3" t="s">
        <v>51</v>
      </c>
      <c r="D3" t="s">
        <v>52</v>
      </c>
      <c r="E3" t="s">
        <v>53</v>
      </c>
    </row>
    <row r="4" spans="1:5" x14ac:dyDescent="0.25">
      <c r="A4" t="s">
        <v>55</v>
      </c>
      <c r="B4" s="1">
        <v>261564</v>
      </c>
      <c r="C4" s="1">
        <v>234516</v>
      </c>
      <c r="D4" s="1">
        <v>302011</v>
      </c>
      <c r="E4" s="1">
        <v>342441</v>
      </c>
    </row>
    <row r="5" spans="1:5" x14ac:dyDescent="0.25">
      <c r="A5" t="s">
        <v>56</v>
      </c>
      <c r="B5" s="1">
        <v>36117</v>
      </c>
      <c r="C5" s="1">
        <v>36125</v>
      </c>
      <c r="D5" s="1">
        <v>40157</v>
      </c>
      <c r="E5" s="1">
        <v>41646</v>
      </c>
    </row>
    <row r="6" spans="1:5" x14ac:dyDescent="0.25">
      <c r="A6" t="s">
        <v>57</v>
      </c>
      <c r="B6" s="1">
        <v>74736</v>
      </c>
      <c r="C6" s="1">
        <v>83088</v>
      </c>
      <c r="D6" s="1">
        <v>96682</v>
      </c>
      <c r="E6" s="1">
        <v>94749</v>
      </c>
    </row>
    <row r="7" spans="1:5" x14ac:dyDescent="0.25">
      <c r="A7" t="s">
        <v>58</v>
      </c>
      <c r="B7" s="1">
        <v>1715</v>
      </c>
      <c r="C7" s="1">
        <v>1883</v>
      </c>
      <c r="D7" s="1">
        <v>2419</v>
      </c>
      <c r="E7" s="1">
        <v>2758</v>
      </c>
    </row>
    <row r="8" spans="1:5" x14ac:dyDescent="0.25">
      <c r="A8" t="s">
        <v>59</v>
      </c>
      <c r="B8" s="1">
        <v>4238</v>
      </c>
      <c r="C8" s="1">
        <v>4326</v>
      </c>
      <c r="D8" s="1">
        <v>4975</v>
      </c>
      <c r="E8" s="1">
        <v>4948</v>
      </c>
    </row>
    <row r="9" spans="1:5" x14ac:dyDescent="0.25">
      <c r="A9" t="s">
        <v>60</v>
      </c>
      <c r="B9" s="1">
        <v>404</v>
      </c>
      <c r="C9" s="1">
        <v>455</v>
      </c>
      <c r="D9" s="1">
        <v>643</v>
      </c>
      <c r="E9" s="1">
        <v>786</v>
      </c>
    </row>
    <row r="10" spans="1:5" x14ac:dyDescent="0.25">
      <c r="A10" t="s">
        <v>61</v>
      </c>
      <c r="B10" s="1">
        <v>2029</v>
      </c>
      <c r="C10" s="1">
        <v>2090</v>
      </c>
      <c r="D10" s="1">
        <v>2110</v>
      </c>
      <c r="E10" s="1">
        <v>1742</v>
      </c>
    </row>
    <row r="11" spans="1:5" x14ac:dyDescent="0.25">
      <c r="A11" t="s">
        <v>62</v>
      </c>
      <c r="B11" s="1">
        <v>380995</v>
      </c>
      <c r="C11" s="1">
        <v>362684</v>
      </c>
      <c r="D11" s="1">
        <v>449153</v>
      </c>
      <c r="E11" s="1">
        <v>496207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Enrolment by Discipline</vt:lpstr>
      <vt:lpstr>Enrolment by province</vt:lpstr>
      <vt:lpstr>Faculty by Province</vt:lpstr>
      <vt:lpstr>Number of PhDs Produced by Paki</vt:lpstr>
      <vt:lpstr>PhDs by Discipline</vt:lpstr>
      <vt:lpstr>Graduates Produced by Level of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AHM3D UM3R</cp:lastModifiedBy>
  <dcterms:created xsi:type="dcterms:W3CDTF">2026-07-28T09:53:24Z</dcterms:created>
  <dcterms:modified xsi:type="dcterms:W3CDTF">2026-07-29T11:22:43Z</dcterms:modified>
</cp:coreProperties>
</file>